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定价假设" sheetId="1" state="visible" r:id="rId1"/>
    <sheet xmlns:r="http://schemas.openxmlformats.org/officeDocument/2006/relationships" name="操作积分设计" sheetId="2" state="visible" r:id="rId2"/>
    <sheet xmlns:r="http://schemas.openxmlformats.org/officeDocument/2006/relationships" name="用户等级套餐" sheetId="3" state="visible" r:id="rId3"/>
    <sheet xmlns:r="http://schemas.openxmlformats.org/officeDocument/2006/relationships" name="盈亏平衡测算" sheetId="4" state="visible" r:id="rId4"/>
    <sheet xmlns:r="http://schemas.openxmlformats.org/officeDocument/2006/relationships" name="设计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¥&quot;#,##0.00&quot;/M&quot;"/>
    <numFmt numFmtId="165" formatCode="0.0"/>
    <numFmt numFmtId="166" formatCode="&quot;¥&quot;#,##0.0000"/>
    <numFmt numFmtId="167" formatCode="¥#,##0"/>
    <numFmt numFmtId="168" formatCode="¥#,##0.00"/>
    <numFmt numFmtId="169" formatCode="0.0%"/>
  </numFmts>
  <fonts count="7">
    <font>
      <name val="Calibri"/>
      <family val="2"/>
      <color theme="1"/>
      <sz val="11"/>
      <scheme val="minor"/>
    </font>
    <font>
      <b val="1"/>
      <color rgb="00534AB7"/>
      <sz val="14"/>
    </font>
    <font>
      <color rgb="000000FF"/>
    </font>
    <font>
      <b val="1"/>
      <sz val="12"/>
    </font>
    <font>
      <b val="1"/>
      <color rgb="00FFFFFF"/>
    </font>
    <font>
      <color rgb="00000000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3" fontId="5" fillId="0" borderId="1" pivotButton="0" quotePrefix="0" xfId="0"/>
    <xf numFmtId="1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Qwen3.7-Plus 定价与成本假设</t>
        </is>
      </c>
    </row>
    <row r="3">
      <c r="A3" s="2" t="inlineStr">
        <is>
          <t>模型名称</t>
        </is>
      </c>
      <c r="B3" s="3" t="inlineStr">
        <is>
          <t>Qwen3.7-Plus</t>
        </is>
      </c>
      <c r="C3" s="2" t="inlineStr">
        <is>
          <t>风格分析 + 文章生成 同一模型</t>
        </is>
      </c>
    </row>
    <row r="4">
      <c r="A4" s="2" t="inlineStr">
        <is>
          <t>输入单价（≤256k）</t>
        </is>
      </c>
      <c r="B4" s="4" t="n">
        <v>1.6</v>
      </c>
      <c r="C4" s="2" t="inlineStr">
        <is>
          <t>¥/M tokens，截图限时 8 折价</t>
        </is>
      </c>
    </row>
    <row r="5">
      <c r="A5" s="2" t="inlineStr">
        <is>
          <t>输出单价（≤256k）</t>
        </is>
      </c>
      <c r="B5" s="4" t="n">
        <v>6.4</v>
      </c>
      <c r="C5" s="2" t="inlineStr">
        <is>
          <t>¥/M tokens，截图限时 8 折价</t>
        </is>
      </c>
    </row>
    <row r="6">
      <c r="A6" s="2" t="inlineStr">
        <is>
          <t>每汉字 ≈ tokens</t>
        </is>
      </c>
      <c r="B6" s="5" t="n">
        <v>1.5</v>
      </c>
      <c r="C6" s="2" t="inlineStr">
        <is>
          <t>中文经验值，用于估算输出 token</t>
        </is>
      </c>
    </row>
    <row r="7">
      <c r="A7" s="2" t="inlineStr">
        <is>
          <t>文章基础输入 tokens</t>
        </is>
      </c>
      <c r="B7" s="6" t="n">
        <v>1500</v>
      </c>
      <c r="C7" s="2" t="inlineStr">
        <is>
          <t>风格档案(约1000) + 写作要求(约500)</t>
        </is>
      </c>
    </row>
    <row r="8">
      <c r="A8" s="2" t="inlineStr">
        <is>
          <t>平均单积分成本(¥)</t>
        </is>
      </c>
      <c r="B8" s="7" t="n">
        <v>0.0043</v>
      </c>
      <c r="C8" s="2" t="inlineStr">
        <is>
          <t>按 2000字中篇测算：输入1500+输出3000 tokens = ¥0.0216 / 5积分</t>
        </is>
      </c>
    </row>
    <row r="9">
      <c r="A9" s="2" t="inlineStr">
        <is>
          <t>积分定位</t>
        </is>
      </c>
      <c r="B9" s="3" t="inlineStr">
        <is>
          <t>用量配额单位</t>
        </is>
      </c>
      <c r="C9" s="2" t="inlineStr">
        <is>
          <t>1 积分为用户侧配额单位，与人民币非 1:1，仅用于限制用量；真实成本按 token 另计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6" customWidth="1" min="4" max="4"/>
  </cols>
  <sheetData>
    <row r="1">
      <c r="A1" s="1" t="inlineStr">
        <is>
          <t>每个操作的花费积分设计</t>
        </is>
      </c>
    </row>
    <row r="3">
      <c r="A3" s="8" t="inlineStr">
        <is>
          <t>一、文章生成（按长度分档，长文享折扣）</t>
        </is>
      </c>
    </row>
    <row r="4">
      <c r="A4" s="9" t="inlineStr">
        <is>
          <t>长度档（字）</t>
        </is>
      </c>
      <c r="B4" s="9" t="inlineStr">
        <is>
          <t>消耗积分</t>
        </is>
      </c>
      <c r="C4" s="9" t="inlineStr">
        <is>
          <t>每千字平均积分</t>
        </is>
      </c>
      <c r="D4" s="9" t="inlineStr">
        <is>
          <t>说明</t>
        </is>
      </c>
    </row>
    <row r="5">
      <c r="A5" s="10" t="inlineStr">
        <is>
          <t>≤1000</t>
        </is>
      </c>
      <c r="B5" s="10" t="n">
        <v>3</v>
      </c>
      <c r="C5" s="11">
        <f>B5/(VALUE(SUBSTITUTE(A5,"≤",""))/1000)</f>
        <v/>
      </c>
      <c r="D5" s="10" t="inlineStr">
        <is>
          <t>基础档，单价最高</t>
        </is>
      </c>
    </row>
    <row r="6">
      <c r="A6" s="10" t="inlineStr">
        <is>
          <t>≤2000</t>
        </is>
      </c>
      <c r="B6" s="10" t="n">
        <v>5</v>
      </c>
      <c r="C6" s="11">
        <f>B6/(VALUE(SUBSTITUTE(A6,"≤",""))/1000)</f>
        <v/>
      </c>
      <c r="D6" s="10" t="inlineStr">
        <is>
          <t>比 1000 字档单位更便宜（折扣）</t>
        </is>
      </c>
    </row>
    <row r="7">
      <c r="A7" s="10" t="inlineStr">
        <is>
          <t>≤3000</t>
        </is>
      </c>
      <c r="B7" s="10" t="n">
        <v>8</v>
      </c>
      <c r="C7" s="11">
        <f>B7/(VALUE(SUBSTITUTE(A7,"≤",""))/1000)</f>
        <v/>
      </c>
      <c r="D7" s="10" t="inlineStr">
        <is>
          <t>锚点：更长内容单位价更低</t>
        </is>
      </c>
    </row>
    <row r="8">
      <c r="A8" s="10" t="inlineStr">
        <is>
          <t>≤4000</t>
        </is>
      </c>
      <c r="B8" s="10" t="n">
        <v>11</v>
      </c>
      <c r="C8" s="11">
        <f>B8/(VALUE(SUBSTITUTE(A8,"≤",""))/1000)</f>
        <v/>
      </c>
      <c r="D8" s="10" t="inlineStr">
        <is>
          <t>之后每千字约 +3 分</t>
        </is>
      </c>
    </row>
    <row r="9">
      <c r="A9" s="10" t="inlineStr">
        <is>
          <t>≤5000</t>
        </is>
      </c>
      <c r="B9" s="10" t="n">
        <v>14</v>
      </c>
      <c r="C9" s="11">
        <f>B9/(VALUE(SUBSTITUTE(A9,"≤",""))/1000)</f>
        <v/>
      </c>
      <c r="D9" s="10" t="inlineStr"/>
    </row>
    <row r="10">
      <c r="A10" s="10" t="inlineStr">
        <is>
          <t>≤8000</t>
        </is>
      </c>
      <c r="B10" s="10" t="n">
        <v>22</v>
      </c>
      <c r="C10" s="11">
        <f>B10/(VALUE(SUBSTITUTE(A10,"≤",""))/1000)</f>
        <v/>
      </c>
      <c r="D10" s="10" t="inlineStr">
        <is>
          <t>长文创作场景</t>
        </is>
      </c>
    </row>
    <row r="11">
      <c r="A11" s="10" t="inlineStr">
        <is>
          <t>≤10000</t>
        </is>
      </c>
      <c r="B11" s="10" t="n">
        <v>29</v>
      </c>
      <c r="C11" s="11">
        <f>B11/(VALUE(SUBSTITUTE(A11,"≤",""))/1000)</f>
        <v/>
      </c>
      <c r="D11" s="10" t="inlineStr">
        <is>
          <t>上限，超出需联系商务</t>
        </is>
      </c>
    </row>
    <row r="13">
      <c r="A13" s="8" t="inlineStr">
        <is>
          <t>二、其他操作（固定积分）</t>
        </is>
      </c>
    </row>
    <row r="14">
      <c r="A14" s="9" t="inlineStr">
        <is>
          <t>操作</t>
        </is>
      </c>
      <c r="B14" s="9" t="inlineStr">
        <is>
          <t>消耗积分</t>
        </is>
      </c>
      <c r="C14" s="9" t="inlineStr">
        <is>
          <t>每千字平均积分</t>
        </is>
      </c>
      <c r="D14" s="9" t="inlineStr">
        <is>
          <t>说明</t>
        </is>
      </c>
    </row>
    <row r="15">
      <c r="A15" s="10" t="inlineStr">
        <is>
          <t>风格分析</t>
        </is>
      </c>
      <c r="B15" s="10" t="n">
        <v>2</v>
      </c>
      <c r="C15" s="10" t="inlineStr">
        <is>
          <t>—</t>
        </is>
      </c>
      <c r="D15" s="10" t="inlineStr">
        <is>
          <t>上传作品诊断六维风格，一次性动作</t>
        </is>
      </c>
    </row>
    <row r="16">
      <c r="A16" s="10" t="inlineStr">
        <is>
          <t>段落重写</t>
        </is>
      </c>
      <c r="B16" s="10" t="n">
        <v>1</v>
      </c>
      <c r="C16" s="10" t="inlineStr">
        <is>
          <t>—</t>
        </is>
      </c>
      <c r="D16" s="10" t="inlineStr">
        <is>
          <t>每次重写消耗，与长度无关</t>
        </is>
      </c>
    </row>
    <row r="17">
      <c r="A17" s="10" t="inlineStr">
        <is>
          <t>风格档案编辑</t>
        </is>
      </c>
      <c r="B17" s="10" t="n">
        <v>0</v>
      </c>
      <c r="C17" s="10" t="inlineStr">
        <is>
          <t>—</t>
        </is>
      </c>
      <c r="D17" s="10" t="inlineStr">
        <is>
          <t>免费，不计入额度</t>
        </is>
      </c>
    </row>
    <row r="18">
      <c r="A18" s="10" t="inlineStr">
        <is>
          <t>文章保存/下载</t>
        </is>
      </c>
      <c r="B18" s="10" t="n">
        <v>0</v>
      </c>
      <c r="C18" s="10" t="inlineStr">
        <is>
          <t>—</t>
        </is>
      </c>
      <c r="D18" s="10" t="inlineStr">
        <is>
          <t>免费，不计入额度（仅付费档开放功能）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用户等级与积分套餐设计</t>
        </is>
      </c>
    </row>
    <row r="3">
      <c r="A3" s="9" t="inlineStr">
        <is>
          <t>等级</t>
        </is>
      </c>
      <c r="B3" s="9" t="inlineStr">
        <is>
          <t>月费(¥)</t>
        </is>
      </c>
      <c r="C3" s="9" t="inlineStr">
        <is>
          <t>月积分</t>
        </is>
      </c>
      <c r="D3" s="9" t="inlineStr">
        <is>
          <t>约可生成中篇(2000字)</t>
        </is>
      </c>
      <c r="E3" s="9" t="inlineStr">
        <is>
          <t>风格上限</t>
        </is>
      </c>
      <c r="F3" s="9" t="inlineStr">
        <is>
          <t>作品上限</t>
        </is>
      </c>
      <c r="G3" s="9" t="inlineStr">
        <is>
          <t>下载docx</t>
        </is>
      </c>
      <c r="H3" s="9" t="inlineStr">
        <is>
          <t>段落重写</t>
        </is>
      </c>
      <c r="I3" s="9" t="inlineStr">
        <is>
          <t>满额成本(¥)</t>
        </is>
      </c>
      <c r="J3" s="9" t="inlineStr">
        <is>
          <t>毛利率</t>
        </is>
      </c>
    </row>
    <row r="4">
      <c r="A4" s="10" t="inlineStr">
        <is>
          <t>免费版</t>
        </is>
      </c>
      <c r="B4" s="12" t="n">
        <v>0</v>
      </c>
      <c r="C4" s="13" t="n">
        <v>10</v>
      </c>
      <c r="D4" s="14">
        <f>C4/5</f>
        <v/>
      </c>
      <c r="E4" s="14" t="n">
        <v>2</v>
      </c>
      <c r="F4" s="14" t="n">
        <v>3</v>
      </c>
      <c r="G4" s="10" t="inlineStr">
        <is>
          <t>否</t>
        </is>
      </c>
      <c r="H4" s="10" t="inlineStr">
        <is>
          <t>否</t>
        </is>
      </c>
      <c r="I4" s="15">
        <f>C4*模型定价假设!$B$8</f>
        <v/>
      </c>
      <c r="J4" s="16" t="inlineStr">
        <is>
          <t>N/A</t>
        </is>
      </c>
    </row>
    <row r="5">
      <c r="A5" s="10" t="inlineStr">
        <is>
          <t>基础版</t>
        </is>
      </c>
      <c r="B5" s="12" t="n">
        <v>19</v>
      </c>
      <c r="C5" s="13" t="n">
        <v>60</v>
      </c>
      <c r="D5" s="14">
        <f>C5/5</f>
        <v/>
      </c>
      <c r="E5" s="14" t="n">
        <v>10</v>
      </c>
      <c r="F5" s="14" t="n">
        <v>20</v>
      </c>
      <c r="G5" s="10" t="inlineStr">
        <is>
          <t>是</t>
        </is>
      </c>
      <c r="H5" s="10" t="inlineStr">
        <is>
          <t>是</t>
        </is>
      </c>
      <c r="I5" s="15">
        <f>C5*模型定价假设!$B$8</f>
        <v/>
      </c>
      <c r="J5" s="16">
        <f>(B5-I5)/B5</f>
        <v/>
      </c>
    </row>
    <row r="6">
      <c r="A6" s="10" t="inlineStr">
        <is>
          <t>专业版</t>
        </is>
      </c>
      <c r="B6" s="12" t="n">
        <v>49</v>
      </c>
      <c r="C6" s="13" t="n">
        <v>200</v>
      </c>
      <c r="D6" s="14">
        <f>C6/5</f>
        <v/>
      </c>
      <c r="E6" s="14" t="n">
        <v>30</v>
      </c>
      <c r="F6" s="14" t="n">
        <v>100</v>
      </c>
      <c r="G6" s="10" t="inlineStr">
        <is>
          <t>是</t>
        </is>
      </c>
      <c r="H6" s="10" t="inlineStr">
        <is>
          <t>是</t>
        </is>
      </c>
      <c r="I6" s="15">
        <f>C6*模型定价假设!$B$8</f>
        <v/>
      </c>
      <c r="J6" s="16">
        <f>(B6-I6)/B6</f>
        <v/>
      </c>
    </row>
    <row r="7">
      <c r="A7" s="10" t="inlineStr">
        <is>
          <t>团队版</t>
        </is>
      </c>
      <c r="B7" s="12" t="n">
        <v>199</v>
      </c>
      <c r="C7" s="13" t="n">
        <v>1000</v>
      </c>
      <c r="D7" s="14" t="inlineStr">
        <is>
          <t>不限</t>
        </is>
      </c>
      <c r="E7" s="14" t="inlineStr">
        <is>
          <t>不限</t>
        </is>
      </c>
      <c r="F7" s="14" t="inlineStr">
        <is>
          <t>不限</t>
        </is>
      </c>
      <c r="G7" s="10" t="inlineStr">
        <is>
          <t>是</t>
        </is>
      </c>
      <c r="H7" s="10" t="inlineStr">
        <is>
          <t>是</t>
        </is>
      </c>
      <c r="I7" s="15">
        <f>C7*模型定价假设!$B$8</f>
        <v/>
      </c>
      <c r="J7" s="16">
        <f>(B7-I7)/B7</f>
        <v/>
      </c>
    </row>
    <row r="9">
      <c r="A9" s="17" t="inlineStr">
        <is>
          <t>注：免费版仅可生成 ≤2000字 内容；付费档开放下载/重写；团队版含成员管理与共享风格。满额成本按平均单积分成本(¥0.0043)测算。</t>
        </is>
      </c>
    </row>
  </sheetData>
  <mergeCells count="2">
    <mergeCell ref="A1:J1"/>
    <mergeCell ref="A9:J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以「专业版 ¥49/月，200 积分」为例：不同使用率下的真实利润</t>
        </is>
      </c>
    </row>
    <row r="3">
      <c r="A3" s="9" t="inlineStr">
        <is>
          <t>使用率</t>
        </is>
      </c>
      <c r="B3" s="9" t="inlineStr">
        <is>
          <t>实际消耗积分</t>
        </is>
      </c>
      <c r="C3" s="9" t="inlineStr">
        <is>
          <t>实际成本(¥)</t>
        </is>
      </c>
      <c r="D3" s="9" t="inlineStr">
        <is>
          <t>月收入(¥)</t>
        </is>
      </c>
      <c r="E3" s="9" t="inlineStr">
        <is>
          <t>毛利(¥)</t>
        </is>
      </c>
      <c r="F3" s="9" t="inlineStr">
        <is>
          <t>毛利率</t>
        </is>
      </c>
    </row>
    <row r="4">
      <c r="A4" s="10" t="inlineStr">
        <is>
          <t>20%</t>
        </is>
      </c>
      <c r="B4" s="13">
        <f>200*0.2</f>
        <v/>
      </c>
      <c r="C4" s="15">
        <f>B4*模型定价假设!$B$8</f>
        <v/>
      </c>
      <c r="D4" s="12" t="n">
        <v>49</v>
      </c>
      <c r="E4" s="15">
        <f>D4-C4</f>
        <v/>
      </c>
      <c r="F4" s="16">
        <f>E4/D4</f>
        <v/>
      </c>
    </row>
    <row r="5">
      <c r="A5" s="10" t="inlineStr">
        <is>
          <t>50%</t>
        </is>
      </c>
      <c r="B5" s="13">
        <f>200*0.5</f>
        <v/>
      </c>
      <c r="C5" s="15">
        <f>B5*模型定价假设!$B$8</f>
        <v/>
      </c>
      <c r="D5" s="12" t="n">
        <v>49</v>
      </c>
      <c r="E5" s="15">
        <f>D5-C5</f>
        <v/>
      </c>
      <c r="F5" s="16">
        <f>E5/D5</f>
        <v/>
      </c>
    </row>
    <row r="6">
      <c r="A6" s="10" t="inlineStr">
        <is>
          <t>100%</t>
        </is>
      </c>
      <c r="B6" s="13">
        <f>200*1.0</f>
        <v/>
      </c>
      <c r="C6" s="15">
        <f>B6*模型定价假设!$B$8</f>
        <v/>
      </c>
      <c r="D6" s="12" t="n">
        <v>49</v>
      </c>
      <c r="E6" s="15">
        <f>D6-C6</f>
        <v/>
      </c>
      <c r="F6" s="16">
        <f>E6/D6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用量与额度 · 设计说明</t>
        </is>
      </c>
    </row>
    <row r="3">
      <c r="A3" t="inlineStr">
        <is>
          <t>一、积分定位</t>
        </is>
      </c>
    </row>
    <row r="4">
      <c r="A4" t="inlineStr">
        <is>
          <t>· 积分为「用户侧用量配额单位」，不直接等于人民币，目的是与具体模型解耦，便于换模型/做促销。</t>
        </is>
      </c>
    </row>
    <row r="5">
      <c r="A5" t="inlineStr">
        <is>
          <t>· 真实成本按每次调用的 input/output token 实时计算（见模型定价假设），用于我们内部核算，不展示给用户。</t>
        </is>
      </c>
    </row>
    <row r="6">
      <c r="A6" t="inlineStr">
        <is>
          <t>· 用户看到的只有「本次消耗 X 积分」和「本月剩余 Y 积分」。</t>
        </is>
      </c>
    </row>
    <row r="7">
      <c r="A7" t="inlineStr"/>
    </row>
    <row r="8">
      <c r="A8" t="inlineStr">
        <is>
          <t>二、文章计费折扣逻辑</t>
        </is>
      </c>
    </row>
    <row r="9">
      <c r="A9" t="inlineStr">
        <is>
          <t>· 按输出字数分档：1000字=3分、2000字=5分、3000字=8分（用户给定锚点）。</t>
        </is>
      </c>
    </row>
    <row r="10">
      <c r="A10" t="inlineStr">
        <is>
          <t>· 不是严格线性：前 1000 字单价最高(3.0 分/千字)，2000 字档最低(2.5 分/千字)，更长趋于 ~2.7 分/千字，相当于「写得越长越划算」，引导深度创作。</t>
        </is>
      </c>
    </row>
    <row r="11">
      <c r="A11" t="inlineStr">
        <is>
          <t>· 超过 10000 字需联系商务或单独计费。</t>
        </is>
      </c>
    </row>
    <row r="12">
      <c r="A12" t="inlineStr"/>
    </row>
    <row r="13">
      <c r="A13" t="inlineStr">
        <is>
          <t>三、其他操作</t>
        </is>
      </c>
    </row>
    <row r="14">
      <c r="A14" t="inlineStr">
        <is>
          <t>· 风格分析 2 分（一次性诊断）；段落重写 1 分/次；风格编辑、保存、下载本身免费，仅按等级开放功能权限。</t>
        </is>
      </c>
    </row>
    <row r="15">
      <c r="A15" t="inlineStr"/>
    </row>
    <row r="16">
      <c r="A16" t="inlineStr">
        <is>
          <t>四、用户等级与权限</t>
        </is>
      </c>
    </row>
    <row r="17">
      <c r="A17" t="inlineStr">
        <is>
          <t>· 免费版：10 分/月，限 ≤2000字 生成，不支持下载与重写，风格≤2、作品≤3。用于体验与获客。</t>
        </is>
      </c>
    </row>
    <row r="18">
      <c r="A18" t="inlineStr">
        <is>
          <t>· 基础版 ¥19：60 分，开放下载与重写，风格≤10、作品≤20。</t>
        </is>
      </c>
    </row>
    <row r="19">
      <c r="A19" t="inlineStr">
        <is>
          <t>· 专业版 ¥49：200 分，全功能 + 优先队列，风格≤30、作品≤100。</t>
        </is>
      </c>
    </row>
    <row r="20">
      <c r="A20" t="inlineStr">
        <is>
          <t>· 团队版 ¥199：1000 分，含成员管理、共享风格、不限风格/作品。</t>
        </is>
      </c>
    </row>
    <row r="21">
      <c r="A21" t="inlineStr"/>
    </row>
    <row r="22">
      <c r="A22" t="inlineStr">
        <is>
          <t>五、盈亏测算结论</t>
        </is>
      </c>
    </row>
    <row r="23">
      <c r="A23" t="inlineStr">
        <is>
          <t>· 即便用户 100% 用满额度，各档毛利率仍约 98%（大模型成本极低）。</t>
        </is>
      </c>
    </row>
    <row r="24">
      <c r="A24" t="inlineStr">
        <is>
          <t>· 实际平均使用率通常 20%~50%，真实毛利更高，商业化空间充足。</t>
        </is>
      </c>
    </row>
    <row r="25">
      <c r="A25" t="inlineStr"/>
    </row>
    <row r="26">
      <c r="A26" t="inlineStr">
        <is>
          <t>六、实施要点（后端）</t>
        </is>
      </c>
    </row>
    <row r="27">
      <c r="A27" t="inlineStr">
        <is>
          <t>· User 表：tier、monthly_quota、used_quota、quota_resets_at。</t>
        </is>
      </c>
    </row>
    <row r="28">
      <c r="A28" t="inlineStr">
        <is>
          <t>· UsageRecord 表：operation_type、input_tokens、output_tokens、points_consumed、cost_cny、model、created_at。</t>
        </is>
      </c>
    </row>
    <row r="29">
      <c r="A29" t="inlineStr">
        <is>
          <t>· 生成/分析前校验剩余额度（points ≤ remaining），不足返回 402/403 友好提示。</t>
        </is>
      </c>
    </row>
    <row r="30">
      <c r="A30" t="inlineStr">
        <is>
          <t>· 每月 quota_resets_at 到期自动重置 used_quota=0。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2026-08-08T13:57:49Z</dcterms:created>
  <dcterms:modified xmlns:dcterms="http://purl.org/dc/terms/" xmlns:xsi="http://www.w3.org/2001/XMLSchema-instance" xsi:type="dcterms:W3CDTF">2026-08-08T13:57:49Z</dcterms:modified>
</cp:coreProperties>
</file>